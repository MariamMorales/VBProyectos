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am\OneDrive\Escritorio\"/>
    </mc:Choice>
  </mc:AlternateContent>
  <xr:revisionPtr revIDLastSave="0" documentId="13_ncr:1_{F02B87A4-3F9D-415B-8B96-2F64A53D275B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Calcular PEs" sheetId="35" r:id="rId1"/>
    <sheet name="Datos" sheetId="36" r:id="rId2"/>
    <sheet name="PE-20200215" sheetId="31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6" l="1"/>
  <c r="F6" i="36"/>
  <c r="F4" i="36"/>
  <c r="B26" i="36"/>
  <c r="B22" i="36"/>
  <c r="B25" i="36"/>
  <c r="B24" i="36"/>
  <c r="B23" i="36"/>
  <c r="C8" i="36"/>
  <c r="B29" i="36"/>
  <c r="B27" i="36"/>
  <c r="C12" i="36"/>
  <c r="B33" i="36"/>
  <c r="B30" i="36" s="1"/>
  <c r="B34" i="36" s="1"/>
  <c r="B35" i="36" s="1"/>
  <c r="G4" i="36"/>
  <c r="B28" i="36"/>
  <c r="B32" i="36"/>
  <c r="C11" i="36"/>
  <c r="B31" i="36"/>
  <c r="C10" i="36"/>
  <c r="C13" i="36"/>
  <c r="C15" i="36" s="1"/>
  <c r="C19" i="36" l="1"/>
  <c r="C18" i="36"/>
  <c r="C17" i="36"/>
  <c r="B39" i="36"/>
  <c r="B37" i="36"/>
  <c r="B38" i="36"/>
</calcChain>
</file>

<file path=xl/sharedStrings.xml><?xml version="1.0" encoding="utf-8"?>
<sst xmlns="http://schemas.openxmlformats.org/spreadsheetml/2006/main" count="49" uniqueCount="37">
  <si>
    <t>DISTRIBUIDORA EL VALLE</t>
  </si>
  <si>
    <t>Fecha:</t>
  </si>
  <si>
    <t>Costos fijos:</t>
  </si>
  <si>
    <t>Código</t>
  </si>
  <si>
    <t>Descripción</t>
  </si>
  <si>
    <t>Total de Ventas</t>
  </si>
  <si>
    <t>Precio Unitario</t>
  </si>
  <si>
    <t>Costos Variables</t>
  </si>
  <si>
    <t>Margen de Contribución</t>
  </si>
  <si>
    <t>Tasa de Participación</t>
  </si>
  <si>
    <t>Punto de Equilibrio</t>
  </si>
  <si>
    <t>LTH221</t>
  </si>
  <si>
    <t>Zapatos de cuero MOD.ZPT221XX</t>
  </si>
  <si>
    <t>LTH397</t>
  </si>
  <si>
    <t>Bolso de cuero MOD.BLS221XX</t>
  </si>
  <si>
    <t>LTH851</t>
  </si>
  <si>
    <t>Correas de cuero MOD.CRR221XX</t>
  </si>
  <si>
    <t>Margen de Contribución Ponderado</t>
  </si>
  <si>
    <t>Margen de Contribución Ponderado Total</t>
  </si>
  <si>
    <t>Unidades Totales para Punto de Equilibrio</t>
  </si>
  <si>
    <t>Unidades por Producto para el Punto de Equilibrio</t>
  </si>
  <si>
    <r>
      <rPr>
        <b/>
        <sz val="11"/>
        <color theme="1"/>
        <rFont val="Calibri"/>
        <family val="2"/>
        <scheme val="minor"/>
      </rPr>
      <t>(A)</t>
    </r>
    <r>
      <rPr>
        <sz val="11"/>
        <color theme="1"/>
        <rFont val="Calibri"/>
        <family val="2"/>
        <scheme val="minor"/>
      </rPr>
      <t xml:space="preserve">  Gran Total de Ventas = </t>
    </r>
  </si>
  <si>
    <t>Suma de Columna C</t>
  </si>
  <si>
    <r>
      <rPr>
        <b/>
        <sz val="11"/>
        <color theme="1"/>
        <rFont val="Calibri"/>
        <family val="2"/>
        <scheme val="minor"/>
      </rPr>
      <t>(B)</t>
    </r>
    <r>
      <rPr>
        <sz val="11"/>
        <color theme="1"/>
        <rFont val="Calibri"/>
        <family val="2"/>
        <scheme val="minor"/>
      </rPr>
      <t xml:space="preserve"> Tasa de Participación = </t>
    </r>
  </si>
  <si>
    <t>(Columna C / (A))</t>
  </si>
  <si>
    <r>
      <rPr>
        <b/>
        <sz val="11"/>
        <color theme="1"/>
        <rFont val="Calibri"/>
        <family val="2"/>
        <scheme val="minor"/>
      </rPr>
      <t>(C)</t>
    </r>
    <r>
      <rPr>
        <sz val="11"/>
        <color theme="1"/>
        <rFont val="Calibri"/>
        <family val="2"/>
        <scheme val="minor"/>
      </rPr>
      <t xml:space="preserve"> mc_ponderado = </t>
    </r>
  </si>
  <si>
    <t>Columna F * Columna G</t>
  </si>
  <si>
    <r>
      <rPr>
        <b/>
        <sz val="11"/>
        <color theme="1"/>
        <rFont val="Calibri"/>
        <family val="2"/>
        <scheme val="minor"/>
      </rPr>
      <t>(D)</t>
    </r>
    <r>
      <rPr>
        <sz val="11"/>
        <color theme="1"/>
        <rFont val="Calibri"/>
        <family val="2"/>
        <scheme val="minor"/>
      </rPr>
      <t xml:space="preserve"> mc_ponderado_total = 
Sumatoria de mc_ponderados (C)</t>
    </r>
  </si>
  <si>
    <r>
      <rPr>
        <b/>
        <sz val="11"/>
        <color theme="1"/>
        <rFont val="Calibri"/>
        <family val="2"/>
        <scheme val="minor"/>
      </rPr>
      <t>(E)</t>
    </r>
    <r>
      <rPr>
        <sz val="11"/>
        <color theme="1"/>
        <rFont val="Calibri"/>
        <family val="2"/>
        <scheme val="minor"/>
      </rPr>
      <t xml:space="preserve"> Total Unidades = 
Costos Fijos / (D)</t>
    </r>
  </si>
  <si>
    <r>
      <rPr>
        <b/>
        <sz val="11"/>
        <color theme="1"/>
        <rFont val="Calibri"/>
        <family val="2"/>
        <scheme val="minor"/>
      </rPr>
      <t>(F)</t>
    </r>
    <r>
      <rPr>
        <sz val="11"/>
        <color theme="1"/>
        <rFont val="Calibri"/>
        <family val="2"/>
        <scheme val="minor"/>
      </rPr>
      <t xml:space="preserve"> Unidades por Producto para el Punto de Equilibrio</t>
    </r>
  </si>
  <si>
    <t>(E) * Columna G</t>
  </si>
  <si>
    <t>PRD001</t>
  </si>
  <si>
    <t>Cafetera profesional 10 tazas con moledor de café MOD.KJV013Z</t>
  </si>
  <si>
    <t>PRD002</t>
  </si>
  <si>
    <t>Cafetera 8 tazas MOD.KJV5455Y</t>
  </si>
  <si>
    <t>PRD003</t>
  </si>
  <si>
    <t>Mini-Cafetera 2 tazas con moledor de café MOD.KJV018W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</si>
</sst>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₡&quot;#,##0.00;\-&quot;₡&quot;#,##0.00"/>
    <numFmt numFmtId="43" formatCode="_-* #,##0.00_-;\-* #,##0.00_-;_-* &quot;-&quot;??_-;_-@_-"/>
    <numFmt numFmtId="164" formatCode="&quot;₡&quot;#,##0.00_);\(&quot;₡&quot;#,##0.00\)"/>
    <numFmt numFmtId="165" formatCode="&quot;₡&quot;#,###,##0.00"/>
    <numFmt numFmtId="166" formatCode="#,###,##0"/>
    <numFmt numFmtId="167" formatCode="_-* #,##0.0000_-;\-* #,##0.0000_-;_-* &quot;-&quot;??_-;_-@_-"/>
    <numFmt numFmtId="168" formatCode="&quot;₡&quot;#,##0.00"/>
  </numFmts>
  <fonts count="11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indexed="56"/>
      <name val="Calibri"/>
      <family val="2"/>
      <scheme val="minor"/>
    </font>
    <font>
      <i/>
      <sz val="11"/>
      <color indexed="5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52">
    <xf numFmtId="0" fontId="0" fillId="0" borderId="0" xfId="0"/>
    <xf numFmtId="0" fontId="2" fillId="3" borderId="0" xfId="0" applyFont="1" applyFill="1" applyAlignment="1">
      <alignment horizontal="center"/>
    </xf>
    <xf numFmtId="14" fontId="2" fillId="3" borderId="0" xfId="0" applyNumberFormat="1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164" fontId="0" fillId="0" borderId="0" xfId="0" applyNumberFormat="1"/>
    <xf numFmtId="165" fontId="2" fillId="3" borderId="0" xfId="0" applyNumberFormat="1" applyFont="1" applyFill="1" applyAlignment="1">
      <alignment horizontal="center"/>
    </xf>
    <xf numFmtId="10" fontId="2" fillId="3" borderId="0" xfId="0" applyNumberFormat="1" applyFont="1" applyFill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0" fontId="0" fillId="0" borderId="0" xfId="0" applyNumberForma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/>
    <xf numFmtId="7" fontId="0" fillId="0" borderId="0" xfId="0" applyNumberFormat="1"/>
    <xf numFmtId="2" fontId="0" fillId="0" borderId="0" xfId="0" applyNumberFormat="1"/>
    <xf numFmtId="7" fontId="6" fillId="0" borderId="0" xfId="0" applyNumberFormat="1" applyFont="1"/>
    <xf numFmtId="0" fontId="0" fillId="8" borderId="0" xfId="0" applyFill="1" applyAlignment="1">
      <alignment horizontal="left" vertical="center" wrapText="1"/>
    </xf>
    <xf numFmtId="0" fontId="0" fillId="6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10" fontId="6" fillId="6" borderId="0" xfId="0" applyNumberFormat="1" applyFont="1" applyFill="1" applyAlignment="1">
      <alignment horizontal="right" vertical="center" wrapText="1"/>
    </xf>
    <xf numFmtId="7" fontId="6" fillId="5" borderId="0" xfId="0" applyNumberFormat="1" applyFont="1" applyFill="1" applyAlignment="1">
      <alignment vertical="center"/>
    </xf>
    <xf numFmtId="2" fontId="6" fillId="4" borderId="0" xfId="0" applyNumberFormat="1" applyFont="1" applyFill="1" applyAlignment="1">
      <alignment vertical="center"/>
    </xf>
    <xf numFmtId="0" fontId="0" fillId="7" borderId="0" xfId="0" applyFill="1" applyAlignment="1">
      <alignment horizontal="left" vertical="center" wrapText="1"/>
    </xf>
    <xf numFmtId="2" fontId="6" fillId="7" borderId="0" xfId="0" applyNumberFormat="1" applyFont="1" applyFill="1" applyAlignment="1">
      <alignment vertical="center"/>
    </xf>
    <xf numFmtId="2" fontId="6" fillId="8" borderId="0" xfId="0" applyNumberFormat="1" applyFont="1" applyFill="1" applyAlignment="1">
      <alignment vertical="center"/>
    </xf>
    <xf numFmtId="0" fontId="0" fillId="9" borderId="0" xfId="0" applyFill="1"/>
    <xf numFmtId="0" fontId="6" fillId="0" borderId="0" xfId="0" applyFont="1" applyAlignment="1">
      <alignment horizontal="right"/>
    </xf>
    <xf numFmtId="2" fontId="8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2" fontId="7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7" fontId="9" fillId="5" borderId="0" xfId="0" applyNumberFormat="1" applyFont="1" applyFill="1" applyAlignment="1">
      <alignment vertical="center"/>
    </xf>
    <xf numFmtId="10" fontId="9" fillId="6" borderId="0" xfId="1" applyNumberFormat="1" applyFont="1" applyFill="1" applyAlignment="1">
      <alignment vertical="center"/>
    </xf>
    <xf numFmtId="2" fontId="9" fillId="4" borderId="0" xfId="0" applyNumberFormat="1" applyFont="1" applyFill="1" applyAlignment="1">
      <alignment vertical="center"/>
    </xf>
    <xf numFmtId="2" fontId="9" fillId="9" borderId="0" xfId="0" applyNumberFormat="1" applyFont="1" applyFill="1"/>
    <xf numFmtId="0" fontId="0" fillId="9" borderId="0" xfId="0" applyFill="1" applyAlignment="1">
      <alignment horizontal="left" vertical="center"/>
    </xf>
    <xf numFmtId="0" fontId="8" fillId="0" borderId="2" xfId="0" applyFont="1" applyBorder="1" applyAlignment="1">
      <alignment horizontal="center" vertical="center" wrapText="1"/>
    </xf>
    <xf numFmtId="0" fontId="0" fillId="5" borderId="0" xfId="0" applyFill="1" applyAlignment="1">
      <alignment horizontal="left" vertical="center" wrapText="1"/>
    </xf>
    <xf numFmtId="167" fontId="0" fillId="0" borderId="0" xfId="2" applyNumberFormat="1" applyFont="1"/>
    <xf numFmtId="168" fontId="0" fillId="0" borderId="0" xfId="0" applyNumberFormat="1"/>
    <xf numFmtId="9" fontId="0" fillId="0" borderId="0" xfId="0" applyNumberFormat="1"/>
    <xf numFmtId="0" fontId="0" fillId="4" borderId="0" xfId="0" applyFill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5" fillId="0" borderId="0" xfId="0" applyFont="1" applyAlignment="1">
      <alignment horizontal="center"/>
    </xf>
  </cellXfs>
  <cellStyles count="3">
    <cellStyle name="Millares" xfId="2" builtinId="3"/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CCCC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3</xdr:row>
          <xdr:rowOff>9525</xdr:rowOff>
        </xdr:from>
        <xdr:to>
          <xdr:col>3</xdr:col>
          <xdr:colOff>752475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Puntos de Equilibrio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957E-3FCC-45EB-9B76-74DB524DAE9F}">
  <sheetPr codeName="Hoja1"/>
  <dimension ref="A1"/>
  <sheetViews>
    <sheetView workbookViewId="0">
      <selection activeCell="H10" sqref="H10"/>
    </sheetView>
  </sheetViews>
  <sheetFormatPr baseColWidth="10" defaultColWidth="11.4257812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rPuntosEquilibrio">
                <anchor moveWithCells="1" sizeWithCells="1">
                  <from>
                    <xdr:col>0</xdr:col>
                    <xdr:colOff>752475</xdr:colOff>
                    <xdr:row>3</xdr:row>
                    <xdr:rowOff>9525</xdr:rowOff>
                  </from>
                  <to>
                    <xdr:col>3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8FF8C-6FA5-4DCE-990C-21807D040422}">
  <sheetPr codeName="Hoja2"/>
  <dimension ref="A1:H39"/>
  <sheetViews>
    <sheetView tabSelected="1" zoomScale="81" zoomScaleNormal="81" workbookViewId="0">
      <selection activeCell="D13" sqref="D13"/>
    </sheetView>
  </sheetViews>
  <sheetFormatPr baseColWidth="10" defaultColWidth="11.42578125" defaultRowHeight="15" x14ac:dyDescent="0.25"/>
  <cols>
    <col min="1" max="1" width="27.42578125" customWidth="1"/>
    <col min="2" max="2" width="56" customWidth="1"/>
    <col min="3" max="3" width="16.5703125" customWidth="1"/>
    <col min="4" max="4" width="18.5703125" customWidth="1"/>
    <col min="5" max="5" width="17.42578125" customWidth="1"/>
    <col min="6" max="6" width="19.85546875" customWidth="1"/>
    <col min="7" max="7" width="19.140625" style="8" customWidth="1"/>
    <col min="8" max="8" width="18.42578125" style="10" customWidth="1"/>
  </cols>
  <sheetData>
    <row r="1" spans="1:8" x14ac:dyDescent="0.25">
      <c r="A1" s="47" t="s">
        <v>0</v>
      </c>
      <c r="B1" s="48"/>
      <c r="C1" s="48"/>
      <c r="D1" s="48"/>
      <c r="E1" s="48"/>
      <c r="F1" s="48"/>
      <c r="G1" s="48"/>
      <c r="H1" s="48"/>
    </row>
    <row r="2" spans="1:8" x14ac:dyDescent="0.25">
      <c r="A2" s="1" t="s">
        <v>1</v>
      </c>
      <c r="B2" s="2">
        <v>43878</v>
      </c>
      <c r="C2" s="1"/>
      <c r="D2" s="1"/>
      <c r="E2" s="1"/>
      <c r="F2" s="1"/>
      <c r="G2" s="6" t="s">
        <v>2</v>
      </c>
      <c r="H2" s="5">
        <v>50000</v>
      </c>
    </row>
    <row r="3" spans="1:8" x14ac:dyDescent="0.25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7" t="s">
        <v>9</v>
      </c>
      <c r="H3" s="9" t="s">
        <v>10</v>
      </c>
    </row>
    <row r="4" spans="1:8" x14ac:dyDescent="0.25">
      <c r="A4" t="s">
        <v>11</v>
      </c>
      <c r="B4" t="s">
        <v>12</v>
      </c>
      <c r="C4" s="11">
        <v>2406250</v>
      </c>
      <c r="D4" s="11">
        <v>250</v>
      </c>
      <c r="E4" s="11">
        <v>150</v>
      </c>
      <c r="F4" s="11">
        <f>+D4-E4</f>
        <v>100</v>
      </c>
      <c r="G4" s="8">
        <f>+C4/C8</f>
        <v>0.640279394644936</v>
      </c>
      <c r="H4" s="10">
        <v>353</v>
      </c>
    </row>
    <row r="5" spans="1:8" x14ac:dyDescent="0.25">
      <c r="A5" t="s">
        <v>13</v>
      </c>
      <c r="B5" t="s">
        <v>14</v>
      </c>
      <c r="C5" s="11">
        <v>1133125</v>
      </c>
      <c r="D5" s="11">
        <v>185</v>
      </c>
      <c r="E5" s="11">
        <v>106</v>
      </c>
      <c r="F5" s="11">
        <f t="shared" ref="F5:F6" si="0">+D5-E5</f>
        <v>79</v>
      </c>
      <c r="G5" s="8">
        <v>0.30151338766006985</v>
      </c>
      <c r="H5" s="10">
        <v>167</v>
      </c>
    </row>
    <row r="6" spans="1:8" x14ac:dyDescent="0.25">
      <c r="A6" t="s">
        <v>15</v>
      </c>
      <c r="B6" t="s">
        <v>16</v>
      </c>
      <c r="C6" s="11">
        <v>218750</v>
      </c>
      <c r="D6" s="11">
        <v>125</v>
      </c>
      <c r="E6" s="11">
        <v>73</v>
      </c>
      <c r="F6" s="11">
        <f t="shared" si="0"/>
        <v>52</v>
      </c>
      <c r="G6" s="8">
        <v>5.8207217694994179E-2</v>
      </c>
      <c r="H6" s="10">
        <v>33</v>
      </c>
    </row>
    <row r="8" spans="1:8" x14ac:dyDescent="0.25">
      <c r="B8" s="24" t="s">
        <v>5</v>
      </c>
      <c r="C8" s="13">
        <f>+SUM(C4:C6)</f>
        <v>3758125</v>
      </c>
      <c r="G8" s="39"/>
    </row>
    <row r="10" spans="1:8" x14ac:dyDescent="0.25">
      <c r="B10" s="44" t="s">
        <v>17</v>
      </c>
      <c r="C10" s="30">
        <f>+F4*G4</f>
        <v>64.027939464493599</v>
      </c>
    </row>
    <row r="11" spans="1:8" x14ac:dyDescent="0.25">
      <c r="B11" s="44"/>
      <c r="C11" s="30">
        <f>+F5*G5</f>
        <v>23.819557625145517</v>
      </c>
      <c r="G11" s="41"/>
    </row>
    <row r="12" spans="1:8" ht="15.75" thickBot="1" x14ac:dyDescent="0.3">
      <c r="B12" s="45"/>
      <c r="C12" s="31">
        <f>+F6*G6</f>
        <v>3.0267753201396972</v>
      </c>
      <c r="G12" s="41"/>
    </row>
    <row r="13" spans="1:8" ht="16.5" thickTop="1" thickBot="1" x14ac:dyDescent="0.3">
      <c r="B13" s="26" t="s">
        <v>18</v>
      </c>
      <c r="C13" s="27">
        <f>+SUM(C10:C12)</f>
        <v>90.874272409778811</v>
      </c>
      <c r="G13" s="41"/>
    </row>
    <row r="14" spans="1:8" ht="16.5" thickTop="1" thickBot="1" x14ac:dyDescent="0.3"/>
    <row r="15" spans="1:8" ht="16.5" thickTop="1" thickBot="1" x14ac:dyDescent="0.3">
      <c r="B15" s="37" t="s">
        <v>19</v>
      </c>
      <c r="C15" s="25">
        <f>+$H$2/$C$13</f>
        <v>550.21073263217227</v>
      </c>
      <c r="D15" s="40"/>
    </row>
    <row r="16" spans="1:8" ht="16.5" thickTop="1" thickBot="1" x14ac:dyDescent="0.3">
      <c r="B16" s="28"/>
      <c r="C16" s="29"/>
    </row>
    <row r="17" spans="1:3" ht="15.95" customHeight="1" thickTop="1" thickBot="1" x14ac:dyDescent="0.3">
      <c r="B17" s="46" t="s">
        <v>20</v>
      </c>
      <c r="C17" s="25">
        <f>+G4*$C$15</f>
        <v>352.28859481687397</v>
      </c>
    </row>
    <row r="18" spans="1:3" ht="16.5" thickTop="1" thickBot="1" x14ac:dyDescent="0.3">
      <c r="B18" s="46"/>
      <c r="C18" s="25">
        <f>+G5*$C$15</f>
        <v>165.89590192285522</v>
      </c>
    </row>
    <row r="19" spans="1:3" ht="16.5" thickTop="1" thickBot="1" x14ac:dyDescent="0.3">
      <c r="B19" s="46"/>
      <c r="C19" s="25">
        <f>+G6*$C$15</f>
        <v>32.02623589244309</v>
      </c>
    </row>
    <row r="20" spans="1:3" ht="15.75" thickTop="1" x14ac:dyDescent="0.25">
      <c r="B20" s="28"/>
      <c r="C20" s="29"/>
    </row>
    <row r="22" spans="1:3" x14ac:dyDescent="0.25">
      <c r="A22" s="38" t="s">
        <v>21</v>
      </c>
      <c r="B22" s="18">
        <f>+SUM(B23:B25)</f>
        <v>3758125</v>
      </c>
    </row>
    <row r="23" spans="1:3" ht="15.95" customHeight="1" x14ac:dyDescent="0.25">
      <c r="A23" s="49" t="s">
        <v>22</v>
      </c>
      <c r="B23" s="32">
        <f>+C4</f>
        <v>2406250</v>
      </c>
    </row>
    <row r="24" spans="1:3" x14ac:dyDescent="0.25">
      <c r="A24" s="49"/>
      <c r="B24" s="32">
        <f>+C5</f>
        <v>1133125</v>
      </c>
    </row>
    <row r="25" spans="1:3" x14ac:dyDescent="0.25">
      <c r="A25" s="49"/>
      <c r="B25" s="32">
        <f>+C6</f>
        <v>218750</v>
      </c>
    </row>
    <row r="26" spans="1:3" x14ac:dyDescent="0.25">
      <c r="A26" s="15" t="s">
        <v>23</v>
      </c>
      <c r="B26" s="17">
        <f>+SUM(B27:B29)</f>
        <v>1</v>
      </c>
    </row>
    <row r="27" spans="1:3" ht="15.95" customHeight="1" x14ac:dyDescent="0.25">
      <c r="A27" s="50" t="s">
        <v>24</v>
      </c>
      <c r="B27" s="33">
        <f>+C4/B22</f>
        <v>0.640279394644936</v>
      </c>
    </row>
    <row r="28" spans="1:3" x14ac:dyDescent="0.25">
      <c r="A28" s="50"/>
      <c r="B28" s="33">
        <f>+C5/B22</f>
        <v>0.30151338766006985</v>
      </c>
    </row>
    <row r="29" spans="1:3" x14ac:dyDescent="0.25">
      <c r="A29" s="50"/>
      <c r="B29" s="33">
        <f>+C6/B22</f>
        <v>5.8207217694994179E-2</v>
      </c>
    </row>
    <row r="30" spans="1:3" x14ac:dyDescent="0.25">
      <c r="A30" s="16" t="s">
        <v>25</v>
      </c>
      <c r="B30" s="19">
        <f>+SUM(B31:B33)</f>
        <v>90.874272409778811</v>
      </c>
    </row>
    <row r="31" spans="1:3" ht="15.95" customHeight="1" x14ac:dyDescent="0.25">
      <c r="A31" s="42" t="s">
        <v>26</v>
      </c>
      <c r="B31" s="34">
        <f>+F4*G4</f>
        <v>64.027939464493599</v>
      </c>
    </row>
    <row r="32" spans="1:3" x14ac:dyDescent="0.25">
      <c r="A32" s="42"/>
      <c r="B32" s="34">
        <f>+F5*G5</f>
        <v>23.819557625145517</v>
      </c>
    </row>
    <row r="33" spans="1:7" x14ac:dyDescent="0.25">
      <c r="A33" s="42"/>
      <c r="B33" s="34">
        <f>+F6*G6</f>
        <v>3.0267753201396972</v>
      </c>
      <c r="G33" s="12"/>
    </row>
    <row r="34" spans="1:7" ht="45" x14ac:dyDescent="0.25">
      <c r="A34" s="20" t="s">
        <v>27</v>
      </c>
      <c r="B34" s="21">
        <f>+B30</f>
        <v>90.874272409778811</v>
      </c>
    </row>
    <row r="35" spans="1:7" ht="30" x14ac:dyDescent="0.25">
      <c r="A35" s="14" t="s">
        <v>28</v>
      </c>
      <c r="B35" s="22">
        <f>+$H$2/$B$34</f>
        <v>550.21073263217227</v>
      </c>
    </row>
    <row r="36" spans="1:7" x14ac:dyDescent="0.25">
      <c r="A36" s="36" t="s">
        <v>29</v>
      </c>
      <c r="B36" s="23"/>
    </row>
    <row r="37" spans="1:7" x14ac:dyDescent="0.25">
      <c r="A37" s="43" t="s">
        <v>30</v>
      </c>
      <c r="B37" s="35">
        <f>+B35*G4</f>
        <v>352.28859481687397</v>
      </c>
    </row>
    <row r="38" spans="1:7" x14ac:dyDescent="0.25">
      <c r="A38" s="43"/>
      <c r="B38" s="35">
        <f>+B35*G5</f>
        <v>165.89590192285522</v>
      </c>
    </row>
    <row r="39" spans="1:7" x14ac:dyDescent="0.25">
      <c r="A39" s="43"/>
      <c r="B39" s="35">
        <f>+B35*G6</f>
        <v>32.02623589244309</v>
      </c>
    </row>
  </sheetData>
  <mergeCells count="7">
    <mergeCell ref="A31:A33"/>
    <mergeCell ref="A37:A39"/>
    <mergeCell ref="B10:B12"/>
    <mergeCell ref="B17:B19"/>
    <mergeCell ref="A1:H1"/>
    <mergeCell ref="A23:A25"/>
    <mergeCell ref="A27:A2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7"/>
  <dimension ref="A1:H9"/>
  <sheetViews>
    <sheetView zoomScale="78" zoomScaleNormal="78" workbookViewId="0">
      <selection activeCell="H2" sqref="H2"/>
    </sheetView>
  </sheetViews>
  <sheetFormatPr baseColWidth="10" defaultColWidth="11.42578125" defaultRowHeight="15" x14ac:dyDescent="0.25"/>
  <cols>
    <col min="1" max="1" width="12.5703125" customWidth="1"/>
    <col min="2" max="2" width="65.5703125" customWidth="1"/>
    <col min="3" max="6" width="20.5703125" customWidth="1"/>
    <col min="7" max="7" width="20.5703125" style="8" customWidth="1"/>
    <col min="8" max="8" width="20.5703125" style="10" customWidth="1"/>
  </cols>
  <sheetData>
    <row r="1" spans="1:8" x14ac:dyDescent="0.25">
      <c r="A1" s="47" t="s">
        <v>0</v>
      </c>
      <c r="B1" s="47"/>
      <c r="C1" s="47"/>
      <c r="D1" s="47"/>
      <c r="E1" s="47"/>
      <c r="F1" s="47"/>
      <c r="G1" s="47"/>
      <c r="H1" s="47"/>
    </row>
    <row r="2" spans="1:8" x14ac:dyDescent="0.25">
      <c r="A2" s="1" t="s">
        <v>1</v>
      </c>
      <c r="B2" s="2">
        <v>43876</v>
      </c>
      <c r="C2" s="1"/>
      <c r="D2" s="1"/>
      <c r="E2" s="1"/>
      <c r="F2" s="1"/>
      <c r="G2" s="6" t="s">
        <v>2</v>
      </c>
      <c r="H2" s="5">
        <v>100000</v>
      </c>
    </row>
    <row r="3" spans="1:8" x14ac:dyDescent="0.25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7" t="s">
        <v>9</v>
      </c>
      <c r="H3" s="9" t="s">
        <v>10</v>
      </c>
    </row>
    <row r="4" spans="1:8" x14ac:dyDescent="0.25">
      <c r="A4" t="s">
        <v>31</v>
      </c>
      <c r="B4" t="s">
        <v>32</v>
      </c>
      <c r="C4" s="4">
        <v>4800000</v>
      </c>
      <c r="D4" s="4">
        <v>200</v>
      </c>
      <c r="E4" s="4">
        <v>60</v>
      </c>
      <c r="F4" s="4">
        <v>140</v>
      </c>
      <c r="G4" s="8">
        <v>0.57142859697341919</v>
      </c>
      <c r="H4" s="10">
        <v>540</v>
      </c>
    </row>
    <row r="5" spans="1:8" x14ac:dyDescent="0.25">
      <c r="A5" t="s">
        <v>33</v>
      </c>
      <c r="B5" t="s">
        <v>34</v>
      </c>
      <c r="C5" s="4">
        <v>2880000</v>
      </c>
      <c r="D5" s="4">
        <v>120</v>
      </c>
      <c r="E5" s="4">
        <v>50</v>
      </c>
      <c r="F5" s="4">
        <v>70</v>
      </c>
      <c r="G5" s="8">
        <v>0.34285715222358704</v>
      </c>
      <c r="H5" s="10">
        <v>324</v>
      </c>
    </row>
    <row r="6" spans="1:8" x14ac:dyDescent="0.25">
      <c r="A6" t="s">
        <v>35</v>
      </c>
      <c r="B6" t="s">
        <v>36</v>
      </c>
      <c r="C6" s="4">
        <v>720000</v>
      </c>
      <c r="D6" s="4">
        <v>60</v>
      </c>
      <c r="E6" s="4">
        <v>40</v>
      </c>
      <c r="F6" s="4">
        <v>20</v>
      </c>
      <c r="G6" s="8">
        <v>8.5714288055896759E-2</v>
      </c>
      <c r="H6" s="10">
        <v>81</v>
      </c>
    </row>
    <row r="9" spans="1:8" x14ac:dyDescent="0.25">
      <c r="A9" s="51"/>
      <c r="B9" s="51"/>
      <c r="C9" s="51"/>
    </row>
  </sheetData>
  <mergeCells count="2">
    <mergeCell ref="A1:H1"/>
    <mergeCell ref="A9:C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Calcular PEs</vt:lpstr>
      <vt:lpstr>Datos</vt:lpstr>
      <vt:lpstr>PE-20200215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Alejandra Selva Mora</dc:creator>
  <cp:keywords/>
  <dc:description/>
  <cp:lastModifiedBy>Mariam</cp:lastModifiedBy>
  <cp:revision/>
  <dcterms:created xsi:type="dcterms:W3CDTF">2018-03-06T21:24:52Z</dcterms:created>
  <dcterms:modified xsi:type="dcterms:W3CDTF">2023-06-15T16:42:15Z</dcterms:modified>
  <cp:category/>
  <cp:contentStatus/>
</cp:coreProperties>
</file>